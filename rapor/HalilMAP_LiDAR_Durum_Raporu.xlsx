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Özet" sheetId="1" state="visible" r:id="rId1"/>
    <sheet name="2. Donanım" sheetId="2" state="visible" r:id="rId2"/>
    <sheet name="3. Doğrulama Testleri" sheetId="3" state="visible" r:id="rId3"/>
    <sheet name="4. Ölçülen Doğruluk" sheetId="4" state="visible" r:id="rId4"/>
    <sheet name="5. Harita Çıktıları" sheetId="5" state="visible" r:id="rId5"/>
    <sheet name="6. Engel Algılama" sheetId="6" state="visible" r:id="rId6"/>
    <sheet name="7. Kodlar ve Komutlar" sheetId="7" state="visible" r:id="rId7"/>
    <sheet name="8. Sorun ve Çözüm" sheetId="8" state="visible" r:id="rId8"/>
    <sheet name="9. Pazartesi Planı" sheetId="9" state="visible" r:id="rId9"/>
    <sheet name="10. Video Planı" sheetId="10" state="visible" r:id="rId10"/>
  </sheets>
  <definedNames/>
  <calcPr calcId="124519" fullCalcOnLoad="1"/>
</workbook>
</file>

<file path=xl/styles.xml><?xml version="1.0" encoding="utf-8"?>
<styleSheet xmlns="http://schemas.openxmlformats.org/spreadsheetml/2006/main">
  <numFmts count="3">
    <numFmt numFmtId="164" formatCode="0.00&quot; m&quot;"/>
    <numFmt numFmtId="165" formatCode="0.0&quot; cm&quot;"/>
    <numFmt numFmtId="166" formatCode="0.0"/>
  </numFmts>
  <fonts count="14">
    <font>
      <name val="Calibri"/>
      <family val="2"/>
      <color theme="1"/>
      <sz val="11"/>
      <scheme val="minor"/>
    </font>
    <font>
      <name val="Arial"/>
      <b val="1"/>
      <color rgb="00FFFFFF"/>
      <sz val="16"/>
    </font>
    <font>
      <name val="Arial"/>
      <i val="1"/>
      <color rgb="00595959"/>
      <sz val="10"/>
    </font>
    <font>
      <name val="Arial"/>
      <b val="1"/>
      <color rgb="00006100"/>
      <sz val="12"/>
    </font>
    <font>
      <name val="Arial"/>
      <b val="1"/>
      <color rgb="00FFFFFF"/>
      <sz val="10"/>
    </font>
    <font>
      <name val="Arial"/>
      <sz val="10"/>
    </font>
    <font>
      <name val="Arial"/>
      <b val="1"/>
      <color rgb="001F3864"/>
      <sz val="12"/>
    </font>
    <font>
      <name val="Arial"/>
      <b val="1"/>
      <sz val="11"/>
    </font>
    <font>
      <name val="Arial"/>
      <i val="1"/>
      <color rgb="00595959"/>
      <sz val="9"/>
    </font>
    <font>
      <name val="Arial"/>
      <b val="1"/>
      <color rgb="009C6500"/>
      <sz val="10"/>
    </font>
    <font>
      <name val="Arial"/>
      <i val="1"/>
      <sz val="10"/>
    </font>
    <font>
      <name val="Arial"/>
      <b val="1"/>
      <sz val="10"/>
    </font>
    <font>
      <name val="Arial"/>
      <b val="1"/>
      <color rgb="001F3864"/>
      <sz val="10"/>
    </font>
    <font>
      <name val="Consolas"/>
      <sz val="9"/>
    </font>
  </fonts>
  <fills count="9">
    <fill>
      <patternFill/>
    </fill>
    <fill>
      <patternFill patternType="gray125"/>
    </fill>
    <fill>
      <patternFill patternType="solid">
        <fgColor rgb="001F3864"/>
      </patternFill>
    </fill>
    <fill>
      <patternFill patternType="solid">
        <fgColor rgb="00C6EFCE"/>
      </patternFill>
    </fill>
    <fill>
      <patternFill patternType="solid">
        <fgColor rgb="002E5C8A"/>
      </patternFill>
    </fill>
    <fill>
      <patternFill patternType="solid">
        <fgColor rgb="00FFEB9C"/>
      </patternFill>
    </fill>
    <fill>
      <patternFill patternType="solid">
        <fgColor rgb="00F2F2F2"/>
      </patternFill>
    </fill>
    <fill>
      <patternFill patternType="solid">
        <fgColor rgb="00DCE6F1"/>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5" fillId="3"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0" borderId="0" pivotButton="0" quotePrefix="0" xfId="0"/>
    <xf numFmtId="0" fontId="5" fillId="0" borderId="1" applyAlignment="1" pivotButton="0" quotePrefix="0" xfId="0">
      <alignment vertical="top"/>
    </xf>
    <xf numFmtId="0" fontId="7" fillId="0" borderId="1" applyAlignment="1" pivotButton="0" quotePrefix="0" xfId="0">
      <alignment horizontal="center"/>
    </xf>
    <xf numFmtId="0" fontId="8" fillId="0" borderId="0" applyAlignment="1" pivotButton="0" quotePrefix="0" xfId="0">
      <alignment vertical="top" wrapText="1"/>
    </xf>
    <xf numFmtId="0" fontId="5" fillId="0" borderId="1" applyAlignment="1" pivotButton="0" quotePrefix="0" xfId="0">
      <alignment vertical="top" wrapText="1"/>
    </xf>
    <xf numFmtId="0" fontId="9" fillId="5" borderId="0" applyAlignment="1" pivotButton="0" quotePrefix="0" xfId="0">
      <alignment vertical="center" wrapText="1"/>
    </xf>
    <xf numFmtId="0" fontId="10" fillId="0" borderId="0" applyAlignment="1" pivotButton="0" quotePrefix="0" xfId="0">
      <alignment vertical="top" wrapText="1"/>
    </xf>
    <xf numFmtId="0" fontId="5" fillId="0" borderId="1" applyAlignment="1" pivotButton="0" quotePrefix="0" xfId="0">
      <alignment horizontal="center" vertical="center"/>
    </xf>
    <xf numFmtId="0" fontId="11" fillId="7" borderId="1" applyAlignment="1" pivotButton="0" quotePrefix="0" xfId="0">
      <alignment vertical="top" wrapText="1"/>
    </xf>
    <xf numFmtId="0" fontId="11" fillId="7" borderId="1" applyAlignment="1" pivotButton="0" quotePrefix="0" xfId="0">
      <alignment horizontal="center" vertical="center"/>
    </xf>
    <xf numFmtId="0" fontId="5" fillId="0" borderId="0"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0" fontId="12" fillId="7" borderId="0" applyAlignment="1" pivotButton="0" quotePrefix="0" xfId="0">
      <alignment vertical="center" wrapText="1"/>
    </xf>
    <xf numFmtId="166" fontId="5" fillId="3" borderId="1" applyAlignment="1" pivotButton="0" quotePrefix="0" xfId="0">
      <alignment horizontal="center"/>
    </xf>
    <xf numFmtId="166" fontId="5" fillId="5" borderId="1" applyAlignment="1" pivotButton="0" quotePrefix="0" xfId="0">
      <alignment horizontal="center"/>
    </xf>
    <xf numFmtId="0" fontId="5" fillId="8" borderId="1" applyAlignment="1" pivotButton="0" quotePrefix="0" xfId="0">
      <alignment vertical="top" wrapText="1"/>
    </xf>
    <xf numFmtId="166" fontId="5" fillId="8" borderId="1" applyAlignment="1" pivotButton="0" quotePrefix="0" xfId="0">
      <alignment horizontal="center"/>
    </xf>
    <xf numFmtId="0" fontId="13" fillId="6" borderId="0" applyAlignment="1" pivotButton="0" quotePrefix="0" xfId="0">
      <alignment vertical="top" wrapText="1"/>
    </xf>
    <xf numFmtId="0" fontId="7" fillId="0" borderId="0" applyAlignment="1" pivotButton="0" quotePrefix="0" xfId="0">
      <alignment horizontal="left"/>
    </xf>
    <xf numFmtId="0" fontId="5" fillId="0" borderId="1" applyAlignment="1" pivotButton="0" quotePrefix="0" xfId="0">
      <alignment horizontal="center"/>
    </xf>
    <xf numFmtId="166" fontId="5" fillId="0" borderId="1" applyAlignment="1" pivotButton="0" quotePrefix="0" xfId="0">
      <alignment horizontal="center"/>
    </xf>
    <xf numFmtId="166" fontId="11" fillId="7" borderId="1" applyAlignment="1" pivotButton="0" quotePrefix="0" xfId="0">
      <alignment horizontal="center"/>
    </xf>
    <xf numFmtId="0" fontId="0" fillId="0" borderId="4" pivotButton="0" quotePrefix="0" xfId="0"/>
    <xf numFmtId="0" fontId="0" fillId="0" borderId="5" pivotButton="0" quotePrefix="0" xfId="0"/>
    <xf numFmtId="0" fontId="11" fillId="7"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8</row>
      <rowOff>0</rowOff>
    </from>
    <ext cx="6858000" cy="7419975"/>
    <pic>
      <nvPicPr>
        <cNvPr id="1" name="Image 1" descr="Picture"/>
        <cNvPicPr/>
      </nvPicPr>
      <blipFill>
        <a:blip cstate="print" r:embed="rId1"/>
        <a:stretch>
          <a:fillRect/>
        </a:stretch>
      </blipFill>
      <spPr>
        <a:prstGeom prst="rect"/>
      </spPr>
    </pic>
    <clientData/>
  </oneCellAnchor>
  <oneCellAnchor>
    <from>
      <col>0</col>
      <colOff>0</colOff>
      <row>52</row>
      <rowOff>0</rowOff>
    </from>
    <ext cx="6858000" cy="7419975"/>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28</row>
      <rowOff>0</rowOff>
    </from>
    <ext cx="2857500" cy="2857500"/>
    <pic>
      <nvPicPr>
        <cNvPr id="1" name="Image 1" descr="Picture"/>
        <cNvPicPr/>
      </nvPicPr>
      <blipFill>
        <a:blip cstate="print" r:embed="rId1"/>
        <a:stretch>
          <a:fillRect/>
        </a:stretch>
      </blipFill>
      <spPr>
        <a:prstGeom prst="rect"/>
      </spPr>
    </pic>
    <clientData/>
  </oneCellAnchor>
  <oneCellAnchor>
    <from>
      <col>3</col>
      <colOff>0</colOff>
      <row>28</row>
      <rowOff>0</rowOff>
    </from>
    <ext cx="2857500" cy="2857500"/>
    <pic>
      <nvPicPr>
        <cNvPr id="2" name="Image 2" descr="Picture"/>
        <cNvPicPr/>
      </nvPicPr>
      <blipFill>
        <a:blip cstate="print" r:embed="rId2"/>
        <a:stretch>
          <a:fillRect/>
        </a:stretch>
      </blipFill>
      <spPr>
        <a:prstGeom prst="rect"/>
      </spPr>
    </pic>
    <clientData/>
  </oneCellAnchor>
  <oneCellAnchor>
    <from>
      <col>6</col>
      <colOff>0</colOff>
      <row>28</row>
      <rowOff>0</rowOff>
    </from>
    <ext cx="2857500" cy="285750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D24"/>
  <sheetViews>
    <sheetView showGridLines="0" workbookViewId="0">
      <pane ySplit="3" topLeftCell="A4" activePane="bottomLeft" state="frozen"/>
      <selection pane="bottomLeft" activeCell="A1" sqref="A1"/>
    </sheetView>
  </sheetViews>
  <sheetFormatPr baseColWidth="8" defaultRowHeight="15"/>
  <cols>
    <col width="26" customWidth="1" min="1" max="1"/>
    <col width="46" customWidth="1" min="2" max="2"/>
    <col width="16" customWidth="1" min="3" max="3"/>
    <col width="40" customWidth="1" min="4" max="4"/>
  </cols>
  <sheetData>
    <row r="1" ht="32" customHeight="1">
      <c r="A1" s="1" t="inlineStr">
        <is>
          <t>HalilMAP  —  LiDAR Entegrasyonu Durum Raporu</t>
        </is>
      </c>
    </row>
    <row r="2" ht="18" customHeight="1">
      <c r="A2" s="2" t="inlineStr">
        <is>
          <t>Slamtec RPLIDAR C1  |  Hazırlayan: Berkay Şahin  |  02.08.2026</t>
        </is>
      </c>
    </row>
    <row r="4" ht="24" customHeight="1">
      <c r="A4" s="3" t="inlineStr">
        <is>
          <t>DURUM: LiDAR ÇALIŞIYOR — canlı veri alınıyor, harita çıkarılıyor</t>
        </is>
      </c>
    </row>
    <row r="6" ht="30" customHeight="1">
      <c r="A6" s="4" t="inlineStr">
        <is>
          <t>İş paketi</t>
        </is>
      </c>
      <c r="B6" s="4" t="inlineStr">
        <is>
          <t>Ne yapıldı</t>
        </is>
      </c>
      <c r="C6" s="4" t="inlineStr">
        <is>
          <t>Durum</t>
        </is>
      </c>
      <c r="D6" s="4" t="inlineStr">
        <is>
          <t>Kanıt / ölçüm</t>
        </is>
      </c>
    </row>
    <row r="7">
      <c r="A7" s="5" t="inlineStr">
        <is>
          <t>Cihaz haberleşmesi</t>
        </is>
      </c>
      <c r="B7" s="5" t="inlineStr">
        <is>
          <t>RPLIDAR C1 için sıfırdan sürücü yazıldı (c1.py). 460800 baud, 5 baytlık ölçüm protokolü, bayt kayması olduğunda yeniden hizalanma.</t>
        </is>
      </c>
      <c r="C7" s="5" t="inlineStr">
        <is>
          <t>TAMAM</t>
        </is>
      </c>
      <c r="D7" s="5" t="inlineStr">
        <is>
          <t>Model 65, yazılım 1.2, seri no okundu; sağlık: iyi (kod 0)</t>
        </is>
      </c>
    </row>
    <row r="8">
      <c r="A8" s="5" t="inlineStr">
        <is>
          <t>Canlı tarama</t>
        </is>
      </c>
      <c r="B8" s="5" t="inlineStr">
        <is>
          <t>goster.py — kuş bakışı canlı görüntü, kayıt ve tekrar oynatma.</t>
        </is>
      </c>
      <c r="C8" s="5" t="inlineStr">
        <is>
          <t>TAMAM</t>
        </is>
      </c>
      <c r="D8" s="5" t="inlineStr">
        <is>
          <t>423 nokta/tur, 10.0 tur/s ölçüldü</t>
        </is>
      </c>
    </row>
    <row r="9">
      <c r="A9" s="5" t="inlineStr">
        <is>
          <t>2B haritalama</t>
        </is>
      </c>
      <c r="B9" s="5" t="inlineStr">
        <is>
          <t>harita.py — tek tarama haritası ve gezerek harita (ICP tarama eşleştirme, log-odds işgal ızgarası).</t>
        </is>
      </c>
      <c r="C9" s="5" t="inlineStr">
        <is>
          <t>TAMAM</t>
        </is>
      </c>
      <c r="D9" s="5" t="inlineStr">
        <is>
          <t>Doğrulama odası 6.00×4.00 m → 6.03×4.02 m ölçüldü</t>
        </is>
      </c>
    </row>
    <row r="10">
      <c r="A10" s="5" t="inlineStr">
        <is>
          <t>Engel algılama / durma</t>
        </is>
      </c>
      <c r="B10" s="5" t="inlineStr">
        <is>
          <t>guvenlik.py — aracın önünde koridor bölgesi; SERBEST / YAVAŞ / DUR kararı ve hız çarpanı üretir.</t>
        </is>
      </c>
      <c r="C10" s="5" t="inlineStr">
        <is>
          <t>TAMAM</t>
        </is>
      </c>
      <c r="D10" s="5" t="inlineStr">
        <is>
          <t>31 otomatik kontrol; histerezis, gürültü eşiği, bayat veri testleri</t>
        </is>
      </c>
    </row>
    <row r="11">
      <c r="A11" s="5" t="inlineStr">
        <is>
          <t>Teşhis altyapısı</t>
        </is>
      </c>
      <c r="B11" s="5" t="inlineStr">
        <is>
          <t>tanila.py — cihaz cevap verip veri göndermediğinde sorunu adım adım bulur ve rapor dosyası yazar.</t>
        </is>
      </c>
      <c r="C11" s="5" t="inlineStr">
        <is>
          <t>TAMAM</t>
        </is>
      </c>
      <c r="D11" s="5" t="inlineStr">
        <is>
          <t>Bağlantı sorunu bu araçla çözüldü</t>
        </is>
      </c>
    </row>
    <row r="12">
      <c r="A12" s="6" t="inlineStr">
        <is>
          <t>Çizgi izlemeye entegrasyon</t>
        </is>
      </c>
      <c r="B12" s="6" t="inlineStr">
        <is>
          <t>Güvenlik katmanının çizgi izleme döngüsüne bağlanması.</t>
        </is>
      </c>
      <c r="C12" s="6" t="inlineStr">
        <is>
          <t>PAZARTESİ</t>
        </is>
      </c>
      <c r="D12" s="6" t="inlineStr">
        <is>
          <t>Plan: '6. Pazartesi Planı' sayfası</t>
        </is>
      </c>
    </row>
    <row r="13">
      <c r="A13" s="7" t="inlineStr">
        <is>
          <t>Odometri (tekerlek geri beslemesi)</t>
        </is>
      </c>
      <c r="B13" s="7" t="inlineStr">
        <is>
          <t>Kelly KLS-S 'Meter' pini üzerinden hall sinyali sayımı.</t>
        </is>
      </c>
      <c r="C13" s="7" t="inlineStr">
        <is>
          <t>VİDEO SONRASI</t>
        </is>
      </c>
      <c r="D13" s="7" t="inlineStr">
        <is>
          <t>Pinout doğrulandı, test kodu hazır (darbe_test.ino)</t>
        </is>
      </c>
    </row>
    <row r="15">
      <c r="A15" s="8" t="inlineStr">
        <is>
          <t>ÖZET SAYILAR</t>
        </is>
      </c>
    </row>
    <row r="16" ht="30" customHeight="1">
      <c r="A16" s="4" t="inlineStr">
        <is>
          <t>Gösterge</t>
        </is>
      </c>
      <c r="B16" s="4" t="inlineStr">
        <is>
          <t>Değer</t>
        </is>
      </c>
      <c r="C16" s="4" t="inlineStr"/>
      <c r="D16" s="4" t="inlineStr"/>
    </row>
    <row r="17">
      <c r="A17" s="9" t="inlineStr">
        <is>
          <t>Yazılan Python modülü</t>
        </is>
      </c>
      <c r="B17" s="10" t="n">
        <v>6</v>
      </c>
    </row>
    <row r="18">
      <c r="A18" s="9" t="inlineStr">
        <is>
          <t>Otomatik doğrulama kontrolü (donanımsız)</t>
        </is>
      </c>
      <c r="B18" s="10">
        <f>SUM('3. Doğrulama Testleri'!C5:C7)</f>
        <v/>
      </c>
    </row>
    <row r="19">
      <c r="A19" s="9" t="inlineStr">
        <is>
          <t>Başarısız kontrol</t>
        </is>
      </c>
      <c r="B19" s="10">
        <f>SUM('3. Doğrulama Testleri'!D5:D7)</f>
        <v/>
      </c>
    </row>
    <row r="20">
      <c r="A20" s="9" t="inlineStr">
        <is>
          <t>Tarama frekansı (Hz)</t>
        </is>
      </c>
      <c r="B20" s="10" t="n">
        <v>10</v>
      </c>
    </row>
    <row r="21">
      <c r="A21" s="9" t="inlineStr">
        <is>
          <t>Tur başına nokta (ölçülen)</t>
        </is>
      </c>
      <c r="B21" s="10" t="n">
        <v>423</v>
      </c>
    </row>
    <row r="22">
      <c r="A22" s="9" t="inlineStr">
        <is>
          <t>Harita hücre boyu (cm)</t>
        </is>
      </c>
      <c r="B22" s="10" t="n">
        <v>3</v>
      </c>
    </row>
    <row r="24" ht="34" customHeight="1">
      <c r="A24" s="11" t="inlineStr">
        <is>
          <t>Not: Doğrulama testleri LiDAR takılı olmadan çalışır; sonuçlar sentetik ama YÖRÜNGESİ BİLİNEN bir odada ölçülmüştür. Yani "harita güzel görünüyor" denmiyor, kaç santim saptığı ölçülüyor.</t>
        </is>
      </c>
    </row>
  </sheetData>
  <mergeCells count="2">
    <mergeCell ref="A4:D4"/>
    <mergeCell ref="A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width="46" customWidth="1" min="3" max="3"/>
  </cols>
  <sheetData>
    <row r="1" ht="32" customHeight="1">
      <c r="A1" s="1" t="inlineStr">
        <is>
          <t>Donanım ve Arayüz</t>
        </is>
      </c>
    </row>
    <row r="2" ht="18" customHeight="1">
      <c r="A2" s="2" t="inlineStr">
        <is>
          <t>Üretici verisi + cihazdan okunan gerçek değerler</t>
        </is>
      </c>
    </row>
    <row r="4" ht="30" customHeight="1">
      <c r="A4" s="4" t="inlineStr">
        <is>
          <t>Özellik</t>
        </is>
      </c>
      <c r="B4" s="4" t="inlineStr">
        <is>
          <t>Değer</t>
        </is>
      </c>
      <c r="C4" s="4" t="inlineStr">
        <is>
          <t>Açıklama</t>
        </is>
      </c>
    </row>
    <row r="5">
      <c r="A5" s="12" t="inlineStr">
        <is>
          <t>Cihaz</t>
        </is>
      </c>
      <c r="B5" s="12" t="inlineStr">
        <is>
          <t>Slamtec RPLIDAR C1</t>
        </is>
      </c>
      <c r="C5" s="12" t="inlineStr">
        <is>
          <t>2B 360° lazer tarayıcı</t>
        </is>
      </c>
    </row>
    <row r="6">
      <c r="A6" s="12" t="inlineStr">
        <is>
          <t>Menzil</t>
        </is>
      </c>
      <c r="B6" s="12" t="inlineStr">
        <is>
          <t>0,05 – 12 m (beyaz yüzey)</t>
        </is>
      </c>
      <c r="C6" s="12" t="inlineStr">
        <is>
          <t>Siyah yüzeyde 6 m</t>
        </is>
      </c>
    </row>
    <row r="7">
      <c r="A7" s="12" t="inlineStr">
        <is>
          <t>Tarama frekansı</t>
        </is>
      </c>
      <c r="B7" s="12" t="inlineStr">
        <is>
          <t>8 – 12 Hz (tipik 10)</t>
        </is>
      </c>
      <c r="C7" s="12" t="inlineStr">
        <is>
          <t>Ölçülen: 10,0 tur/s</t>
        </is>
      </c>
    </row>
    <row r="8">
      <c r="A8" s="12" t="inlineStr">
        <is>
          <t>Örnekleme</t>
        </is>
      </c>
      <c r="B8" s="12" t="inlineStr">
        <is>
          <t>5 kHz</t>
        </is>
      </c>
      <c r="C8" s="12" t="inlineStr">
        <is>
          <t>Tur başına ~500 nokta; ölçülen 423</t>
        </is>
      </c>
    </row>
    <row r="9">
      <c r="A9" s="12" t="inlineStr">
        <is>
          <t>Açısal çözünürlük</t>
        </is>
      </c>
      <c r="B9" s="12" t="inlineStr">
        <is>
          <t>0,72°</t>
        </is>
      </c>
      <c r="C9" s="12" t="inlineStr"/>
    </row>
    <row r="10">
      <c r="A10" s="12" t="inlineStr">
        <is>
          <t>Mesafe doğruluğu</t>
        </is>
      </c>
      <c r="B10" s="12" t="inlineStr">
        <is>
          <t>±15 mm (çözünürlük 30 mm)</t>
        </is>
      </c>
      <c r="C10" s="12" t="inlineStr"/>
    </row>
    <row r="11">
      <c r="A11" s="12" t="inlineStr">
        <is>
          <t>Arayüz</t>
        </is>
      </c>
      <c r="B11" s="12" t="inlineStr">
        <is>
          <t>TTL UART, 460800 baud</t>
        </is>
      </c>
      <c r="C11" s="12" t="inlineStr">
        <is>
          <t>EN KRİTİK AYAR — aşağıdaki nota bakınız</t>
        </is>
      </c>
    </row>
    <row r="12">
      <c r="A12" s="12" t="inlineStr">
        <is>
          <t>Bağlantı</t>
        </is>
      </c>
      <c r="B12" s="12" t="inlineStr">
        <is>
          <t>USB (CP210x köprü) → PC</t>
        </is>
      </c>
      <c r="C12" s="12" t="inlineStr">
        <is>
          <t>Robotta Jetson Orin Nano'ya taşınacak</t>
        </is>
      </c>
    </row>
    <row r="13">
      <c r="A13" s="12" t="inlineStr">
        <is>
          <t>Okunan model kodu</t>
        </is>
      </c>
      <c r="B13" s="12" t="inlineStr">
        <is>
          <t>65</t>
        </is>
      </c>
      <c r="C13" s="12" t="inlineStr">
        <is>
          <t>GET_INFO yanıtı</t>
        </is>
      </c>
    </row>
    <row r="14">
      <c r="A14" s="12" t="inlineStr">
        <is>
          <t>Okunan yazılım sürümü</t>
        </is>
      </c>
      <c r="B14" s="12" t="inlineStr">
        <is>
          <t>1.2</t>
        </is>
      </c>
      <c r="C14" s="12" t="inlineStr">
        <is>
          <t>GET_INFO yanıtı</t>
        </is>
      </c>
    </row>
    <row r="15">
      <c r="A15" s="12" t="inlineStr">
        <is>
          <t>Okunan donanım sürümü</t>
        </is>
      </c>
      <c r="B15" s="12" t="inlineStr">
        <is>
          <t>18</t>
        </is>
      </c>
      <c r="C15" s="12" t="inlineStr">
        <is>
          <t>GET_INFO yanıtı</t>
        </is>
      </c>
    </row>
    <row r="16">
      <c r="A16" s="12" t="inlineStr">
        <is>
          <t>Cihaz sağlık durumu</t>
        </is>
      </c>
      <c r="B16" s="12" t="inlineStr">
        <is>
          <t>iyi (hata kodu 0)</t>
        </is>
      </c>
      <c r="C16" s="12" t="inlineStr">
        <is>
          <t>GET_HEALTH yanıtı</t>
        </is>
      </c>
    </row>
    <row r="18" ht="46" customHeight="1">
      <c r="A18" s="13" t="inlineStr">
        <is>
          <t>DİKKAT — en sık yapılan hata: C1 460800 baud kullanır. İnternetteki RPLIDAR örneklerinin çoğu A1/A2 için yazılmış ve 115200 kullanır. O hızda port açılır, hiç veri gelmez ve sorun donanım sanılır.</t>
        </is>
      </c>
    </row>
    <row r="20">
      <c r="A20" s="8" t="inlineStr">
        <is>
          <t>PC mi, Jetson mu? — Gerekçe</t>
        </is>
      </c>
    </row>
    <row r="21" ht="30" customHeight="1">
      <c r="A21" s="4" t="inlineStr">
        <is>
          <t>Ölçüt</t>
        </is>
      </c>
      <c r="B21" s="4" t="inlineStr">
        <is>
          <t>PC</t>
        </is>
      </c>
      <c r="C21" s="4" t="inlineStr">
        <is>
          <t>Jetson Orin Nano</t>
        </is>
      </c>
    </row>
    <row r="22">
      <c r="A22" s="12" t="inlineStr">
        <is>
          <t>Kurulum süresi</t>
        </is>
      </c>
      <c r="B22" s="12" t="inlineStr">
        <is>
          <t>5 dakika</t>
        </is>
      </c>
      <c r="C22" s="12" t="inlineStr">
        <is>
          <t>JetPack + ROS 2 derleme, saatler</t>
        </is>
      </c>
    </row>
    <row r="23">
      <c r="A23" s="12" t="inlineStr">
        <is>
          <t>Görselleştirme</t>
        </is>
      </c>
      <c r="B23" s="12" t="inlineStr">
        <is>
          <t>Akıcı</t>
        </is>
      </c>
      <c r="C23" s="12" t="inlineStr">
        <is>
          <t>Ağır</t>
        </is>
      </c>
    </row>
    <row r="24">
      <c r="A24" s="12" t="inlineStr">
        <is>
          <t>Deneme döngüsü</t>
        </is>
      </c>
      <c r="B24" s="12" t="inlineStr">
        <is>
          <t>Hızlı</t>
        </is>
      </c>
      <c r="C24" s="12" t="inlineStr">
        <is>
          <t>Yavaş (SSH, kaynak sınırı)</t>
        </is>
      </c>
    </row>
    <row r="25">
      <c r="A25" s="12" t="inlineStr">
        <is>
          <t>Robota takılı olmalı mı</t>
        </is>
      </c>
      <c r="B25" s="12" t="inlineStr">
        <is>
          <t>Hayır</t>
        </is>
      </c>
      <c r="C25" s="12" t="inlineStr">
        <is>
          <t>Evet</t>
        </is>
      </c>
    </row>
    <row r="27" ht="32" customHeight="1">
      <c r="A27" s="14" t="inlineStr">
        <is>
          <t>Karar: Önce PC. LiDAR USB'den beslenip USB'den konuşuyor; makineler arası taşımak 5 saniye. Jetson, PC'de çalışan bir sistem varken kurulacak.</t>
        </is>
      </c>
    </row>
  </sheetData>
  <mergeCells count="2">
    <mergeCell ref="A18:C18"/>
    <mergeCell ref="A27:C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26" customWidth="1" min="1" max="1"/>
    <col width="52" customWidth="1" min="2" max="2"/>
    <col width="10" customWidth="1" min="3" max="3"/>
    <col width="10" customWidth="1" min="4" max="4"/>
    <col width="34" customWidth="1" min="5" max="5"/>
  </cols>
  <sheetData>
    <row r="1" ht="32" customHeight="1">
      <c r="A1" s="1" t="inlineStr">
        <is>
          <t>Otomatik Doğrulama Testleri</t>
        </is>
      </c>
    </row>
    <row r="2" ht="18" customHeight="1">
      <c r="A2" s="2" t="inlineStr">
        <is>
          <t>Hepsi LiDAR TAKILI OLMADAN çalışır — her makinede tekrarlanabilir</t>
        </is>
      </c>
    </row>
    <row r="4" ht="30" customHeight="1">
      <c r="A4" s="4" t="inlineStr">
        <is>
          <t>Test dosyası</t>
        </is>
      </c>
      <c r="B4" s="4" t="inlineStr">
        <is>
          <t>Ne doğruluyor</t>
        </is>
      </c>
      <c r="C4" s="4" t="inlineStr">
        <is>
          <t>Geçti</t>
        </is>
      </c>
      <c r="D4" s="4" t="inlineStr">
        <is>
          <t>Kaldı</t>
        </is>
      </c>
      <c r="E4" s="4" t="inlineStr">
        <is>
          <t>Çalıştırma komutu</t>
        </is>
      </c>
    </row>
    <row r="5">
      <c r="A5" s="12" t="inlineStr">
        <is>
          <t>test_c1.py</t>
        </is>
      </c>
      <c r="B5" s="12" t="inlineStr">
        <is>
          <t>Ölçüm çözücü (kodla-çöz gidiş-dönüş), bozuk veri reddi, bayt kaymasında yeniden hizalanma, tam tur ayırma, komut baytları, 'veri gelmiyor' tespiti, doğru motor hattı seçimi, kısa sessizlikte pes etmeme</t>
        </is>
      </c>
      <c r="C5" s="15" t="n">
        <v>26</v>
      </c>
      <c r="D5" s="15" t="n">
        <v>0</v>
      </c>
      <c r="E5" s="12" t="inlineStr">
        <is>
          <t>python test_c1.py</t>
        </is>
      </c>
    </row>
    <row r="6">
      <c r="A6" s="12" t="inlineStr">
        <is>
          <t>test_harita.py</t>
        </is>
      </c>
      <c r="B6" s="12" t="inlineStr">
        <is>
          <t>Koordinat dönüşümü, ICP'nin bilinen dönüşümü geri bulması, tek tarama haritasının oda ölçüsü, SLAM'in bilinen yörüngeyi geri bulması, gürültü dayanıklılığı</t>
        </is>
      </c>
      <c r="C6" s="15" t="n">
        <v>20</v>
      </c>
      <c r="D6" s="15" t="n">
        <v>0</v>
      </c>
      <c r="E6" s="12" t="inlineStr">
        <is>
          <t>python test_harita.py</t>
        </is>
      </c>
    </row>
    <row r="7">
      <c r="A7" s="12" t="inlineStr">
        <is>
          <t>test_guvenlik.py</t>
        </is>
      </c>
      <c r="B7" s="12" t="inlineStr">
        <is>
          <t>Koordinat dönüşümü ve kör açılar, SERBEST/YAVAŞ/DUR kararları, koridor dışı nesnelerin elenmesi, tek gürültü noktasına takılmama, histerezis titreme testi, bayat veride güvenli tarafa düşme</t>
        </is>
      </c>
      <c r="C7" s="15" t="n">
        <v>31</v>
      </c>
      <c r="D7" s="15" t="n">
        <v>0</v>
      </c>
      <c r="E7" s="12" t="inlineStr">
        <is>
          <t>python test_guvenlik.py</t>
        </is>
      </c>
    </row>
    <row r="8">
      <c r="A8" s="16" t="inlineStr">
        <is>
          <t>TOPLAM</t>
        </is>
      </c>
      <c r="B8" s="16" t="inlineStr"/>
      <c r="C8" s="17">
        <f>SUM(C5:C7)</f>
        <v/>
      </c>
      <c r="D8" s="17">
        <f>SUM(D5:D7)</f>
        <v/>
      </c>
      <c r="E8" s="16" t="inlineStr"/>
    </row>
    <row r="11">
      <c r="A11" s="8" t="inlineStr">
        <is>
          <t>Neden bu testler önemli?</t>
        </is>
      </c>
    </row>
    <row r="12" ht="30" customHeight="1">
      <c r="A12" s="18" t="inlineStr">
        <is>
          <t>1) Donanımsız çalışırlar. Robot yanımızda olmadan, evde, gece yarısı da doğrulama yapılabiliyor.</t>
        </is>
      </c>
    </row>
    <row r="13" ht="30" customHeight="1">
      <c r="A13" s="18" t="inlineStr">
        <is>
          <t>2) Sonuç göz kararı değil, sayı. Sentetik oda kullanılıyor ama sensörün gezdiği yörünge BİLİNİYOR; algoritmanın tahmini gerçekle karşılaştırılıp kaç santim saptığı ölçülüyor.</t>
        </is>
      </c>
    </row>
    <row r="14" ht="30" customHeight="1">
      <c r="A14" s="18" t="inlineStr">
        <is>
          <t>3) Bir değişiklik bir şeyi bozarsa anında görülüyor. Örnek: harita görselleştirmesi geliştirilirken tüm testler tekrar çalıştırıldı, 20/20 kaldı.</t>
        </is>
      </c>
    </row>
  </sheetData>
  <mergeCells count="3">
    <mergeCell ref="A12:E12"/>
    <mergeCell ref="A13:E13"/>
    <mergeCell ref="A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showGridLines="0" workbookViewId="0">
      <pane ySplit="3" topLeftCell="A4" activePane="bottomLeft" state="frozen"/>
      <selection pane="bottomLeft" activeCell="A1" sqref="A1"/>
    </sheetView>
  </sheetViews>
  <sheetFormatPr baseColWidth="8" defaultRowHeight="15"/>
  <cols>
    <col width="46" customWidth="1" min="1" max="1"/>
    <col width="20" customWidth="1" min="2" max="2"/>
    <col width="20" customWidth="1" min="3" max="3"/>
    <col width="40" customWidth="1" min="4" max="4"/>
  </cols>
  <sheetData>
    <row r="1" ht="32" customHeight="1">
      <c r="A1" s="1" t="inlineStr">
        <is>
          <t>Ölçülen Doğruluk</t>
        </is>
      </c>
    </row>
    <row r="2" ht="18" customHeight="1">
      <c r="A2" s="2" t="inlineStr">
        <is>
          <t>Sentetik 6,00 × 4,00 m oda; sensörün gerçek yörüngesi bilinerek ölçüldü</t>
        </is>
      </c>
    </row>
    <row r="4">
      <c r="A4" s="8" t="inlineStr">
        <is>
          <t>A) ICP — bilinen dönüşüm geri bulunuyor mu</t>
        </is>
      </c>
    </row>
    <row r="5" ht="30" customHeight="1">
      <c r="A5" s="4" t="inlineStr">
        <is>
          <t>Uygulanan dönüşüm</t>
        </is>
      </c>
      <c r="B5" s="4" t="inlineStr">
        <is>
          <t>Konum hatası</t>
        </is>
      </c>
      <c r="C5" s="4" t="inlineStr">
        <is>
          <t>Açı hatası</t>
        </is>
      </c>
      <c r="D5" s="4" t="inlineStr">
        <is>
          <t>Yorum</t>
        </is>
      </c>
    </row>
    <row r="6">
      <c r="A6" s="12" t="inlineStr">
        <is>
          <t>20 cm ileri</t>
        </is>
      </c>
      <c r="B6" s="12" t="inlineStr">
        <is>
          <t>0,0 mm</t>
        </is>
      </c>
      <c r="C6" s="12" t="inlineStr">
        <is>
          <t>0,00°</t>
        </is>
      </c>
      <c r="D6" s="12" t="inlineStr"/>
    </row>
    <row r="7">
      <c r="A7" s="12" t="inlineStr">
        <is>
          <t>30 cm yana</t>
        </is>
      </c>
      <c r="B7" s="12" t="inlineStr">
        <is>
          <t>0,0 mm</t>
        </is>
      </c>
      <c r="C7" s="12" t="inlineStr">
        <is>
          <t>0,00°</t>
        </is>
      </c>
      <c r="D7" s="12" t="inlineStr"/>
    </row>
    <row r="8">
      <c r="A8" s="12" t="inlineStr">
        <is>
          <t>8° dönme</t>
        </is>
      </c>
      <c r="B8" s="12" t="inlineStr">
        <is>
          <t>3,4 mm</t>
        </is>
      </c>
      <c r="C8" s="12" t="inlineStr">
        <is>
          <t>0,37°</t>
        </is>
      </c>
      <c r="D8" s="12" t="inlineStr"/>
    </row>
    <row r="9">
      <c r="A9" s="12" t="inlineStr">
        <is>
          <t>25 cm / -15 cm / 6°</t>
        </is>
      </c>
      <c r="B9" s="12" t="inlineStr">
        <is>
          <t>5,2 mm</t>
        </is>
      </c>
      <c r="C9" s="12" t="inlineStr">
        <is>
          <t>0,35°</t>
        </is>
      </c>
      <c r="D9" s="12" t="inlineStr">
        <is>
          <t>Ötelenme + dönme birlikte</t>
        </is>
      </c>
    </row>
    <row r="10">
      <c r="A10" s="12" t="inlineStr">
        <is>
          <t>-30 cm / 20 cm / -10°</t>
        </is>
      </c>
      <c r="B10" s="12" t="inlineStr">
        <is>
          <t>0,0 mm</t>
        </is>
      </c>
      <c r="C10" s="12" t="inlineStr">
        <is>
          <t>0,00°</t>
        </is>
      </c>
      <c r="D10" s="12" t="inlineStr"/>
    </row>
    <row r="13">
      <c r="A13" s="8" t="inlineStr">
        <is>
          <t>B) SLAM — bilinen yörünge geri bulunuyor mu</t>
        </is>
      </c>
    </row>
    <row r="14" ht="30" customHeight="1">
      <c r="A14" s="4" t="inlineStr">
        <is>
          <t>Senaryo</t>
        </is>
      </c>
      <c r="B14" s="4" t="inlineStr">
        <is>
          <t>Son konum hatası</t>
        </is>
      </c>
      <c r="C14" s="4" t="inlineStr">
        <is>
          <t>Açı hatası</t>
        </is>
      </c>
      <c r="D14" s="4" t="inlineStr">
        <is>
          <t>Yorum</t>
        </is>
      </c>
    </row>
    <row r="15">
      <c r="A15" s="12" t="inlineStr">
        <is>
          <t>2,34 m düz gidiş</t>
        </is>
      </c>
      <c r="B15" s="12" t="inlineStr">
        <is>
          <t>0,8 cm (ort. 0,4 cm)</t>
        </is>
      </c>
      <c r="C15" s="12" t="inlineStr">
        <is>
          <t>—</t>
        </is>
      </c>
      <c r="D15" s="12" t="inlineStr">
        <is>
          <t>Düz gidişte kayma yok</t>
        </is>
      </c>
    </row>
    <row r="16">
      <c r="A16" s="12" t="inlineStr">
        <is>
          <t>90° dönüşlü güzergâh</t>
        </is>
      </c>
      <c r="B16" s="12" t="inlineStr">
        <is>
          <t>1,0 cm</t>
        </is>
      </c>
      <c r="C16" s="12" t="inlineStr">
        <is>
          <t>0,18°</t>
        </is>
      </c>
      <c r="D16" s="12" t="inlineStr">
        <is>
          <t>Dönüş açısı çok iyi korunuyor</t>
        </is>
      </c>
    </row>
    <row r="17">
      <c r="A17" s="12" t="inlineStr">
        <is>
          <t>3 cm ölçüm gürültüsü eklenmiş</t>
        </is>
      </c>
      <c r="B17" s="12" t="inlineStr">
        <is>
          <t>1,8 cm</t>
        </is>
      </c>
      <c r="C17" s="12" t="inlineStr">
        <is>
          <t>—</t>
        </is>
      </c>
      <c r="D17" s="12" t="inlineStr">
        <is>
          <t>Gürültüye dayanıklı</t>
        </is>
      </c>
    </row>
    <row r="18">
      <c r="A18" s="12" t="inlineStr">
        <is>
          <t>4,9 m kapalı güzergâh, 2 dönüş</t>
        </is>
      </c>
      <c r="B18" s="12" t="inlineStr">
        <is>
          <t>9,9 cm (ort. 1,0 cm)</t>
        </is>
      </c>
      <c r="C18" s="12" t="inlineStr">
        <is>
          <t>—</t>
        </is>
      </c>
      <c r="D18" s="12" t="inlineStr">
        <is>
          <t>Yol uzadıkça hata BİRİKİR — bkz. sınırlar</t>
        </is>
      </c>
    </row>
    <row r="21">
      <c r="A21" s="8" t="inlineStr">
        <is>
          <t>C) Harita ölçüsü — gerçek oda 6,00 × 4,00 m</t>
        </is>
      </c>
    </row>
    <row r="22" ht="30" customHeight="1">
      <c r="A22" s="4" t="inlineStr">
        <is>
          <t>Yöntem</t>
        </is>
      </c>
      <c r="B22" s="4" t="inlineStr">
        <is>
          <t>Ölçülen genişlik</t>
        </is>
      </c>
      <c r="C22" s="4" t="inlineStr">
        <is>
          <t>Ölçülen derinlik</t>
        </is>
      </c>
      <c r="D22" s="4" t="inlineStr">
        <is>
          <t>Sapma</t>
        </is>
      </c>
    </row>
    <row r="23">
      <c r="A23" s="12" t="inlineStr">
        <is>
          <t>Tek tarama (oda ortasından)</t>
        </is>
      </c>
      <c r="B23" s="19" t="n">
        <v>6.03</v>
      </c>
      <c r="C23" s="19" t="n">
        <v>4.02</v>
      </c>
      <c r="D23" s="20">
        <f>MAX(ABS(B23-6),ABS(C23-4))*100</f>
        <v/>
      </c>
    </row>
    <row r="24">
      <c r="A24" s="12" t="inlineStr">
        <is>
          <t>Gezerek (SLAM), 4,9 m güzergâh</t>
        </is>
      </c>
      <c r="B24" s="19" t="n">
        <v>6.09</v>
      </c>
      <c r="C24" s="19" t="n">
        <v>4.11</v>
      </c>
      <c r="D24" s="20">
        <f>MAX(ABS(B24-6),ABS(C24-4))*100</f>
        <v/>
      </c>
    </row>
    <row r="26">
      <c r="A26" s="8" t="inlineStr">
        <is>
          <t>D) Bilinen sınırlar — dürüst değerlendirme</t>
        </is>
      </c>
    </row>
    <row r="27" ht="30" customHeight="1">
      <c r="A27" s="18" t="inlineStr">
        <is>
          <t>• Yol uzadıkça ve dönüş sayısı arttıkça hata BİRİKİR. Küçük odada sorun değil, uzun depo koridorunda olur.</t>
        </is>
      </c>
    </row>
    <row r="28" ht="30" customHeight="1">
      <c r="A28" s="18" t="inlineStr">
        <is>
          <t>• Sadece lazer taramasıyla çalışan SLAM, uzun ve simetrik koridorlarda kayar: ardışık iki tarama birbirinin aynısı olunca algoritma "ne kadar ilerledim" sorusunu cevaplayamaz.</t>
        </is>
      </c>
    </row>
    <row r="29" ht="30" customHeight="1">
      <c r="A29" s="18" t="inlineStr">
        <is>
          <t>• Çözümü odometri (tekerlek geri beslemesi) ve döngü kapama. Odometri kaynağı belirlendi: Kelly KLS-S 'Meter' pini (bkz. 7. sayfa). Video sonrasına planlandı.</t>
        </is>
      </c>
    </row>
    <row r="30" ht="30" customHeight="1">
      <c r="A30" s="18" t="inlineStr">
        <is>
          <t>• Buradaki sayılar sentetik ortamda ölçülmüştür; gerçek odada yüzey yansıtıcılığı ve cam yüzeyler nedeniyle bir miktar kötüleşmesi beklenir.</t>
        </is>
      </c>
    </row>
  </sheetData>
  <mergeCells count="4">
    <mergeCell ref="A29:D29"/>
    <mergeCell ref="A28:D28"/>
    <mergeCell ref="A27:D27"/>
    <mergeCell ref="A30:D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1"/>
  <sheetViews>
    <sheetView showGridLines="0" workbookViewId="0">
      <pane ySplit="3" topLeftCell="A4" activePane="bottomLeft" state="frozen"/>
      <selection pane="bottomLeft" activeCell="A1" sqref="A1"/>
    </sheetView>
  </sheetViews>
  <sheetFormatPr baseColWidth="8" defaultRowHeight="15"/>
  <cols>
    <col width="110" customWidth="1" min="1" max="1"/>
  </cols>
  <sheetData>
    <row r="1" ht="32" customHeight="1">
      <c r="A1" s="1" t="inlineStr">
        <is>
          <t>Harita Çıktıları</t>
        </is>
      </c>
    </row>
    <row r="2" ht="18" customHeight="1">
      <c r="A2" s="2" t="inlineStr">
        <is>
          <t>Aşağıdaki iki harita, gerçek yörüngesi bilinen DOĞRULAMA odasında üretilmiştir</t>
        </is>
      </c>
    </row>
    <row r="4" ht="60" customHeight="1">
      <c r="A4" s="13" t="inlineStr">
        <is>
          <t>UYARI: Bu iki görsel, algoritmanın doğruluğunu ÖLÇEBİLMEK için kullanılan sentetik doğrulama odasına aittir (gerçek boyut 6,00 × 4,00 m). Kendi odanızın/deponuzun haritasını çıkarıp bu sayfadaki görselleri onlarla değiştirin:  python harita.py --tek     ve     python harita.py --slam   → harita_sunum.png</t>
        </is>
      </c>
    </row>
    <row r="6">
      <c r="A6" s="8" t="inlineStr">
        <is>
          <t>1) TEK TARAMA — sensör odanın ortasında, sabit</t>
        </is>
      </c>
    </row>
    <row r="7" ht="32" customHeight="1">
      <c r="A7" s="18" t="inlineStr">
        <is>
          <t>Tek bir 360° tarama zaten bir haritadır; kayma (drift) yoktur, geometri kusursuzdur. Eşyaların arkası gölgede kalır. Ölçülen: 6,06 × 4,05 m.</t>
        </is>
      </c>
    </row>
    <row r="50">
      <c r="A50" s="8" t="inlineStr">
        <is>
          <t>2) GEZEREK (SLAM) — sensör elde, yavaşça dolaştırılıyor</t>
        </is>
      </c>
    </row>
    <row r="51" ht="32" customHeight="1">
      <c r="A51" s="18" t="inlineStr">
        <is>
          <t>Her yeni tarama, biriken haritaya ICP ile oturtulur; böylece sensörün ne kadar hareket ettiği görüntüden çıkarılır. Tekerlek enkoderi olmadan "odometri" tam olarak böyle üretilir. 126 anahtar poz, 4,9 m güzergâh, 2 dönüş. Ölçülen: 6,09 × 4,11 m.</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2" customWidth="1" min="1" max="1"/>
    <col width="26" customWidth="1" min="2" max="2"/>
    <col width="18" customWidth="1" min="3" max="3"/>
    <col width="60" customWidth="1" min="4" max="4"/>
  </cols>
  <sheetData>
    <row r="1" ht="32" customHeight="1">
      <c r="A1" s="1" t="inlineStr">
        <is>
          <t>Engel Algılama ve Durma Sistemi</t>
        </is>
      </c>
    </row>
    <row r="2" ht="18" customHeight="1">
      <c r="A2" s="2" t="inlineStr">
        <is>
          <t>guvenlik.py — LiDAR'ın araç üzerindeki asıl görevi</t>
        </is>
      </c>
    </row>
    <row r="4" ht="46" customHeight="1">
      <c r="A4" s="21" t="inlineStr">
        <is>
          <t>TASARIM KARARI: LiDAR bu araçta navigasyon YAPMAZ. Yönü çizgi izleme, konumu QR verir. LiDAR'ın işi, kameranın yapamadığı şeydir: önündeki boşluğu metrik olarak ölçmek ve aracı durdurmak.</t>
        </is>
      </c>
    </row>
    <row r="6" ht="30" customHeight="1">
      <c r="A6" s="4" t="inlineStr">
        <is>
          <t>Durum</t>
        </is>
      </c>
      <c r="B6" s="4" t="inlineStr">
        <is>
          <t>Koşul</t>
        </is>
      </c>
      <c r="C6" s="4" t="inlineStr">
        <is>
          <t>Hız çarpanı</t>
        </is>
      </c>
      <c r="D6" s="4" t="inlineStr">
        <is>
          <t>Davranış</t>
        </is>
      </c>
    </row>
    <row r="7">
      <c r="A7" s="5" t="inlineStr">
        <is>
          <t>SERBEST</t>
        </is>
      </c>
      <c r="B7" s="5" t="inlineStr">
        <is>
          <t>Koridor boş</t>
        </is>
      </c>
      <c r="C7" s="22" t="n">
        <v>1</v>
      </c>
      <c r="D7" s="5" t="inlineStr">
        <is>
          <t>Normal seyir hızı</t>
        </is>
      </c>
    </row>
    <row r="8">
      <c r="A8" s="6" t="inlineStr">
        <is>
          <t>YAVAŞ</t>
        </is>
      </c>
      <c r="B8" s="6" t="inlineStr">
        <is>
          <t>Engel &lt; 90 cm</t>
        </is>
      </c>
      <c r="C8" s="23" t="n">
        <v>0.4</v>
      </c>
      <c r="D8" s="6" t="inlineStr">
        <is>
          <t>Hız %40'a düşer, çizgi takibi sürer</t>
        </is>
      </c>
    </row>
    <row r="9">
      <c r="A9" s="24" t="inlineStr">
        <is>
          <t>DUR</t>
        </is>
      </c>
      <c r="B9" s="24" t="inlineStr">
        <is>
          <t>Engel &lt; 40 cm</t>
        </is>
      </c>
      <c r="C9" s="25" t="n">
        <v>0</v>
      </c>
      <c r="D9" s="24" t="inlineStr">
        <is>
          <t>Motorlar nötre (2048) çekilir, direksiyon kırılmaz</t>
        </is>
      </c>
    </row>
    <row r="12">
      <c r="A12" s="8" t="inlineStr">
        <is>
          <t>Mühendislik kararları ve gerekçeleri</t>
        </is>
      </c>
    </row>
    <row r="13" ht="30" customHeight="1">
      <c r="A13" s="4" t="inlineStr">
        <is>
          <t>Karar</t>
        </is>
      </c>
      <c r="B13" s="4" t="inlineStr">
        <is>
          <t>Değer</t>
        </is>
      </c>
      <c r="C13" s="4" t="inlineStr">
        <is>
          <t>Neden</t>
        </is>
      </c>
      <c r="D13" s="4" t="inlineStr">
        <is>
          <t>Doğrulama</t>
        </is>
      </c>
    </row>
    <row r="14">
      <c r="A14" s="12" t="inlineStr">
        <is>
          <t>En az nokta sayısı</t>
        </is>
      </c>
      <c r="B14" s="12" t="inlineStr">
        <is>
          <t>2 nokta</t>
        </is>
      </c>
      <c r="C14" s="12" t="inlineStr">
        <is>
          <t>Tek bir gürültü noktası aracı durdurmamalı. Bir ölçüm hatası koridorun içine düşerse araç durur ve pist ortasında kalır.</t>
        </is>
      </c>
      <c r="D14" s="12" t="inlineStr">
        <is>
          <t>Test: koridora tek nokta → SERBEST; iki nokta → DUR</t>
        </is>
      </c>
    </row>
    <row r="15">
      <c r="A15" s="12" t="inlineStr">
        <is>
          <t>Histerezis</t>
        </is>
      </c>
      <c r="B15" s="12" t="inlineStr">
        <is>
          <t>12 cm</t>
        </is>
      </c>
      <c r="C15" s="12" t="inlineStr">
        <is>
          <t>Eşiğin tam üstünde titreyen bir engel, aracı sürekli dur-kalk yaptırır. Çıkış eşiği giriş eşiğinden büyük tutuldu (40 cm'de girer, 52 cm'de çıkar).</t>
        </is>
      </c>
      <c r="D15" s="12" t="inlineStr">
        <is>
          <t>Test: eşikte ±2 cm oynayan engelde 20 karede en fazla 1 durum değişimi</t>
        </is>
      </c>
    </row>
    <row r="16">
      <c r="A16" s="12" t="inlineStr">
        <is>
          <t>Bayat veri davranışı</t>
        </is>
      </c>
      <c r="B16" s="12" t="inlineStr">
        <is>
          <t>0,7 sn → YAVAŞ</t>
        </is>
      </c>
      <c r="C16" s="12" t="inlineStr">
        <is>
          <t>Sensör susarsa tam hızla devam etmek en tehlikeli davranıştır. Veri gelmezse sistem kendiliğinden yavaşlar.</t>
        </is>
      </c>
      <c r="D16" s="12" t="inlineStr">
        <is>
          <t>Test: zaman damgası eski → durum YAVAŞ, çarpan 0,4</t>
        </is>
      </c>
    </row>
    <row r="17">
      <c r="A17" s="12" t="inlineStr">
        <is>
          <t>Ayrı iş parçacığı</t>
        </is>
      </c>
      <c r="B17" s="12" t="inlineStr">
        <is>
          <t>Arka planda tarama</t>
        </is>
      </c>
      <c r="C17" s="12" t="inlineStr">
        <is>
          <t>Çizgi takibi ~30 Hz döner, LiDAR 10 Hz üretir. Ana döngüde okunursa direksiyon LiDAR'ı beklemeye başlar ve gecikir.</t>
        </is>
      </c>
      <c r="D17" s="12" t="inlineStr">
        <is>
          <t>GuvenlikOkuyucu sınıfı; ana döngü hiç bloklanmaz</t>
        </is>
      </c>
    </row>
    <row r="18">
      <c r="A18" s="12" t="inlineStr">
        <is>
          <t>Kör açılar</t>
        </is>
      </c>
      <c r="B18" s="12" t="inlineStr">
        <is>
          <t>Ayarlanabilir</t>
        </is>
      </c>
      <c r="C18" s="12" t="inlineStr">
        <is>
          <t>LiDAR aracın kendi gövdesini/kablolarını görür. O yönler elenebiliyor.</t>
        </is>
      </c>
      <c r="D18" s="12" t="inlineStr">
        <is>
          <t>Test: düz ve sarmal (340°–20°) açı aralıkları</t>
        </is>
      </c>
    </row>
    <row r="19">
      <c r="A19" s="12" t="inlineStr">
        <is>
          <t>Koridor genişliği</t>
        </is>
      </c>
      <c r="B19" s="12" t="inlineStr">
        <is>
          <t>Araç genişliği + pay</t>
        </is>
      </c>
      <c r="C19" s="12" t="inlineStr">
        <is>
          <t>Yandaki duvar veya raf aracı durdurmamalı; sadece ÖNÜNDEKİ engel önemli.</t>
        </is>
      </c>
      <c r="D19" s="12" t="inlineStr">
        <is>
          <t>Test: 75 cm yandaki engel → SERBEST</t>
        </is>
      </c>
    </row>
    <row r="22">
      <c r="A22" s="8" t="inlineStr">
        <is>
          <t>Çizgi izleme koduna bağlantı — tek nokta</t>
        </is>
      </c>
    </row>
    <row r="23" ht="118" customHeight="1">
      <c r="A23" s="26" t="inlineStr">
        <is>
          <t>from guvenlik import GuvenlikOkuyucu
oku = GuvenlikOkuyucu(port="/dev/ttyUSB0")   # arka planda tarar
...
d = oku.durum()
carpan = d["hiz_carpani"]                    # 1.0 / 0.4 / 0.0
sol_dac = NOTR + int((sol_dac - NOTR) * carpan)
sag_dac = NOTR + int((sag_dac - NOTR) * carpan)
motor_sur(sol_dac, sag_dac)</t>
        </is>
      </c>
    </row>
    <row r="25" ht="46" customHeight="1">
      <c r="A25" s="14" t="inlineStr">
        <is>
          <t>Bu yaklaşımın avantajı: her iki tekerleğin nötrden sapması aynı oranda ölçeklenir. Direksiyon oranı bozulmaz, DUR durumunda ikisi de tam nötre gider. Mevcut durum makinesine (pivot, köşe dönüşü, çizgi arama) hiç dokunulmaz — tek bir yerden uygulanır.</t>
        </is>
      </c>
    </row>
    <row r="27">
      <c r="A27" s="8" t="inlineStr">
        <is>
          <t>Üç durumun ekran görüntüleri</t>
        </is>
      </c>
    </row>
    <row r="28">
      <c r="A28" s="27" t="inlineStr">
        <is>
          <t>SERBEST — koridor boş</t>
        </is>
      </c>
      <c r="D28" s="27" t="inlineStr">
        <is>
          <t>YAVAŞ — engel &lt; 90 cm</t>
        </is>
      </c>
      <c r="G28" s="27" t="inlineStr">
        <is>
          <t>DUR — engel &lt; 40 cm</t>
        </is>
      </c>
    </row>
  </sheetData>
  <mergeCells count="3">
    <mergeCell ref="A23:D23"/>
    <mergeCell ref="A4:D4"/>
    <mergeCell ref="A25:D25"/>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1"/>
  <sheetViews>
    <sheetView showGridLines="0" workbookViewId="0">
      <pane ySplit="3" topLeftCell="A4" activePane="bottomLeft" state="frozen"/>
      <selection pane="bottomLeft" activeCell="A1" sqref="A1"/>
    </sheetView>
  </sheetViews>
  <sheetFormatPr baseColWidth="8" defaultRowHeight="15"/>
  <cols>
    <col width="22" customWidth="1" min="1" max="1"/>
    <col width="52" customWidth="1" min="2" max="2"/>
    <col width="44" customWidth="1" min="3" max="3"/>
    <col width="12" customWidth="1" min="4" max="4"/>
  </cols>
  <sheetData>
    <row r="1" ht="32" customHeight="1">
      <c r="A1" s="1" t="inlineStr">
        <is>
          <t>Yazılan Kodlar ve Çalıştırma Komutları</t>
        </is>
      </c>
    </row>
    <row r="2" ht="18" customHeight="1">
      <c r="A2" s="2" t="inlineStr">
        <is>
          <t>Depo: berkaysahin133-jpg/HalilMAP  |  dal: claude/new-session-3ojeoh  |  klasör: lidar/</t>
        </is>
      </c>
    </row>
    <row r="4" ht="30" customHeight="1">
      <c r="A4" s="4" t="inlineStr">
        <is>
          <t>Dosya</t>
        </is>
      </c>
      <c r="B4" s="4" t="inlineStr">
        <is>
          <t>Görevi</t>
        </is>
      </c>
      <c r="C4" s="4" t="inlineStr">
        <is>
          <t>Çalıştırma komutu</t>
        </is>
      </c>
      <c r="D4" s="4" t="inlineStr">
        <is>
          <t>Satır</t>
        </is>
      </c>
    </row>
    <row r="5">
      <c r="A5" s="12" t="inlineStr">
        <is>
          <t>basla.py</t>
        </is>
      </c>
      <c r="B5" s="12" t="inlineStr">
        <is>
          <t>Sıfırdan başlatan tek dosya: paketleri kurar, portu bulur, cihazı doğrular, veri aktığını sınar, menü sunar.</t>
        </is>
      </c>
      <c r="C5" s="12" t="inlineStr">
        <is>
          <t>python basla.py</t>
        </is>
      </c>
      <c r="D5" s="28" t="n">
        <v>250</v>
      </c>
    </row>
    <row r="6">
      <c r="A6" s="12" t="inlineStr">
        <is>
          <t>tanila.py</t>
        </is>
      </c>
      <c r="B6" s="12" t="inlineStr">
        <is>
          <t>Teşhis. Veri gelmiyorsa hangi aşamada takıldığını satır satır söyler, tanila_cikti.txt yazar.</t>
        </is>
      </c>
      <c r="C6" s="12" t="inlineStr">
        <is>
          <t>python tanila.py --port COM5</t>
        </is>
      </c>
      <c r="D6" s="28" t="n">
        <v>300</v>
      </c>
    </row>
    <row r="7">
      <c r="A7" s="12" t="inlineStr">
        <is>
          <t>c1.py</t>
        </is>
      </c>
      <c r="B7" s="12" t="inlineStr">
        <is>
          <t>RPLIDAR C1 sürücüsü. Sadece pyserial gerekir, ROS gerekmez.</t>
        </is>
      </c>
      <c r="C7" s="12" t="inlineStr">
        <is>
          <t>(diğer dosyalar tarafından kullanılır)</t>
        </is>
      </c>
      <c r="D7" s="28" t="n">
        <v>330</v>
      </c>
    </row>
    <row r="8">
      <c r="A8" s="12" t="inlineStr">
        <is>
          <t>goster.py</t>
        </is>
      </c>
      <c r="B8" s="12" t="inlineStr">
        <is>
          <t>Canlı kuş bakışı görüntü, kayıt ve tekrar oynatma.</t>
        </is>
      </c>
      <c r="C8" s="12" t="inlineStr">
        <is>
          <t>python goster.py --port COM5</t>
        </is>
      </c>
      <c r="D8" s="28" t="n">
        <v>255</v>
      </c>
    </row>
    <row r="9">
      <c r="A9" s="12" t="inlineStr">
        <is>
          <t>harita.py</t>
        </is>
      </c>
      <c r="B9" s="12" t="inlineStr">
        <is>
          <t>2B harita: tek tarama ve gezerek (ICP-SLAM). Rapora konacak ölçülendirilmiş çizimi de üretir.</t>
        </is>
      </c>
      <c r="C9" s="12" t="inlineStr">
        <is>
          <t>python harita.py --tek
python harita.py --slam</t>
        </is>
      </c>
      <c r="D9" s="28" t="n">
        <v>570</v>
      </c>
    </row>
    <row r="10">
      <c r="A10" s="12" t="inlineStr">
        <is>
          <t>guvenlik.py</t>
        </is>
      </c>
      <c r="B10" s="12" t="inlineStr">
        <is>
          <t>Engel algılama ve durma. Hem robot modülü hem canlı görsel.</t>
        </is>
      </c>
      <c r="C10" s="12" t="inlineStr">
        <is>
          <t>python guvenlik.py --genislik 0.6 --dur 0.4 --yavas 0.9</t>
        </is>
      </c>
      <c r="D10" s="28" t="n">
        <v>340</v>
      </c>
    </row>
    <row r="11">
      <c r="A11" s="12" t="inlineStr">
        <is>
          <t>test_c1.py</t>
        </is>
      </c>
      <c r="B11" s="12" t="inlineStr">
        <is>
          <t>Sürücü protokolü doğrulaması (donanımsız).</t>
        </is>
      </c>
      <c r="C11" s="12" t="inlineStr">
        <is>
          <t>python test_c1.py</t>
        </is>
      </c>
      <c r="D11" s="28" t="n">
        <v>310</v>
      </c>
    </row>
    <row r="12">
      <c r="A12" s="12" t="inlineStr">
        <is>
          <t>test_harita.py</t>
        </is>
      </c>
      <c r="B12" s="12" t="inlineStr">
        <is>
          <t>ICP/SLAM doğrulaması (donanımsız).</t>
        </is>
      </c>
      <c r="C12" s="12" t="inlineStr">
        <is>
          <t>python test_harita.py</t>
        </is>
      </c>
      <c r="D12" s="28" t="n">
        <v>200</v>
      </c>
    </row>
    <row r="13">
      <c r="A13" s="12" t="inlineStr">
        <is>
          <t>test_guvenlik.py</t>
        </is>
      </c>
      <c r="B13" s="12" t="inlineStr">
        <is>
          <t>Engel algılama doğrulaması (donanımsız).</t>
        </is>
      </c>
      <c r="C13" s="12" t="inlineStr">
        <is>
          <t>python test_guvenlik.py</t>
        </is>
      </c>
      <c r="D13" s="28" t="n">
        <v>190</v>
      </c>
    </row>
    <row r="14">
      <c r="A14" s="12" t="inlineStr">
        <is>
          <t>darbe_test.ino</t>
        </is>
      </c>
      <c r="B14" s="12" t="inlineStr">
        <is>
          <t>Kelly 'Meter' pininde darbe var mı, tur başına kaç tane (odometri hazırlığı).</t>
        </is>
      </c>
      <c r="C14" s="12" t="inlineStr">
        <is>
          <t>Arduino IDE ile yükle, Seri Monitör 115200</t>
        </is>
      </c>
      <c r="D14" s="28" t="n">
        <v>200</v>
      </c>
    </row>
    <row r="17">
      <c r="A17" s="8" t="inlineStr">
        <is>
          <t>Dosyaları indirme (Windows PowerShell)</t>
        </is>
      </c>
    </row>
    <row r="18" ht="62" customHeight="1">
      <c r="A18" s="26" t="inlineStr">
        <is>
          <t>cd "$env:USERPROFILE\Desktop\lidar"
$b="https://raw.githubusercontent.com/berkaysahin133-jpg/HalilMAP/claude/new-session-3ojeoh/lidar"
foreach($f in "c1.py","tanila.py","basla.py","goster.py","harita.py","guvenlik.py"){ iwr "$b/$f" -OutFile $f }</t>
        </is>
      </c>
    </row>
    <row r="20">
      <c r="A20" s="8" t="inlineStr">
        <is>
          <t>Odometri hazırlığı — Kelly KLS-S 'Meter' pini</t>
        </is>
      </c>
    </row>
    <row r="21" ht="130" customHeight="1">
      <c r="A21" s="18" t="inlineStr">
        <is>
          <t>Kelly KLS-S kullanma kılavuzu, bölüm 3.2.1 'Pin definition of KLS-S Controller', DJ7091Y-2.3-21 konnektörü:
    (8) Meter: Copy signal of hall sensors.  —  Dark Gray
    Not 2: Meter function is to copy either of hall sensors.
Yani motorun hall soketine hiç dokunmadan, gaz konnektöründeki koyu gri telden tek hall fazının sinyali okunabilir. Hoverboard hub motoru 15 kutup çiftine sahip olduğundan tur başına ~30 kenar, 6,5" tekerlekte ~17 mm çözünürlük beklenir. Bu, 90° pivot dönüşünün süreyle değil AÇIYLA yapılmasını sağlar (batarya voltajı düştükçe süre tabanlı dönüş kayar).</t>
        </is>
      </c>
    </row>
  </sheetData>
  <mergeCells count="2">
    <mergeCell ref="A18:D18"/>
    <mergeCell ref="A21:D2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showGridLines="0" workbookViewId="0">
      <pane ySplit="3" topLeftCell="A4" activePane="bottomLeft" state="frozen"/>
      <selection pane="bottomLeft" activeCell="A1" sqref="A1"/>
    </sheetView>
  </sheetViews>
  <sheetFormatPr baseColWidth="8" defaultRowHeight="15"/>
  <cols>
    <col width="24" customWidth="1" min="1" max="1"/>
    <col width="54" customWidth="1" min="2" max="2"/>
    <col width="54" customWidth="1" min="3" max="3"/>
  </cols>
  <sheetData>
    <row r="1" ht="32" customHeight="1">
      <c r="A1" s="1" t="inlineStr">
        <is>
          <t>Karşılaşılan Sorun ve Çözüm Yöntemi</t>
        </is>
      </c>
    </row>
    <row r="2" ht="18" customHeight="1">
      <c r="A2" s="2" t="inlineStr">
        <is>
          <t>"Cihaz bağlanıyor ama veri gelmiyor" — teşhis süreci</t>
        </is>
      </c>
    </row>
    <row r="4" ht="30" customHeight="1">
      <c r="A4" s="4" t="inlineStr">
        <is>
          <t>Aşama</t>
        </is>
      </c>
      <c r="B4" s="4" t="inlineStr">
        <is>
          <t>Gözlem</t>
        </is>
      </c>
      <c r="C4" s="4" t="inlineStr">
        <is>
          <t>Çıkarım</t>
        </is>
      </c>
    </row>
    <row r="5">
      <c r="A5" s="12" t="inlineStr">
        <is>
          <t>Belirti</t>
        </is>
      </c>
      <c r="B5" s="12" t="inlineStr">
        <is>
          <t>Port açılıyor, model ve seri numarası okunuyor, sağlık "iyi" dönüyor; ancak tarama komutundan sonra tek ölçüm gelmiyor.</t>
        </is>
      </c>
      <c r="C5" s="12" t="inlineStr">
        <is>
          <t>Hata mesajı "zaman aşımı" diyordu ve yanıltıcıydı.</t>
        </is>
      </c>
    </row>
    <row r="6">
      <c r="A6" s="12" t="inlineStr">
        <is>
          <t>Eleme 1</t>
        </is>
      </c>
      <c r="B6" s="12" t="inlineStr">
        <is>
          <t>GET_INFO ve GET_HEALTH doğru yanıt veriyor.</t>
        </is>
      </c>
      <c r="C6" s="12" t="inlineStr">
        <is>
          <t>Port, baud hızı (460800), kablo ve cihaz elektroniği DOĞRU. Sorun bu katmanda değil.</t>
        </is>
      </c>
    </row>
    <row r="7">
      <c r="A7" s="12" t="inlineStr">
        <is>
          <t>Eleme 2</t>
        </is>
      </c>
      <c r="B7" s="12" t="inlineStr">
        <is>
          <t>SCAN komutuna yanıt tanımlayıcısı geliyor (5 baytlık ölçüm vaat ediliyor) ama ölçüm akmıyor.</t>
        </is>
      </c>
      <c r="C7" s="12" t="inlineStr">
        <is>
          <t>Cihaz komutu anlıyor. Geriye fiziksel katman kalıyor: motor dönmüyorsa ölçüm üretilemez.</t>
        </is>
      </c>
    </row>
    <row r="8">
      <c r="A8" s="12" t="inlineStr">
        <is>
          <t>Kod düzeltmesi</t>
        </is>
      </c>
      <c r="B8" s="12" t="inlineStr">
        <is>
          <t>Sürücü, yanıt tanımlayıcısını görünce "tarama başladı" sayıyordu; verinin gerçekten aktığını kontrol etmiyordu.</t>
        </is>
      </c>
      <c r="C8" s="12" t="inlineStr">
        <is>
          <t>tarama_baslat() artık veri akışını ÖLÇÜYOR. Ayrıca DTR/RTS motor hattının 4 kombinasyonunu deniyor ve çalışanı kaydediyor.</t>
        </is>
      </c>
    </row>
    <row r="9">
      <c r="A9" s="12" t="inlineStr">
        <is>
          <t>Dayanıklılık</t>
        </is>
      </c>
      <c r="B9" s="12" t="inlineStr">
        <is>
          <t>Tek bir boş okumada hata veriliyordu; motor hızlanırken kısa boşluklar normaldir.</t>
        </is>
      </c>
      <c r="C9" s="12" t="inlineStr">
        <is>
          <t>Sessizlik penceresi eklendi (2,5 sn). Motor rampası artık hata sayılmıyor.</t>
        </is>
      </c>
    </row>
    <row r="10">
      <c r="A10" s="12" t="inlineStr">
        <is>
          <t>Teşhis aracı</t>
        </is>
      </c>
      <c r="B10" s="12" t="inlineStr">
        <is>
          <t>Sorunun nerede olduğunu kullanıcı göremiyordu.</t>
        </is>
      </c>
      <c r="C10" s="12" t="inlineStr">
        <is>
          <t>tanila.py yazıldı: portları listeler, cihazla konuşur, 4 hat kombinasyonunda gelen ham baytı sayar, karar verir, rapor dosyası yazar.</t>
        </is>
      </c>
    </row>
    <row r="11">
      <c r="A11" s="5" t="inlineStr">
        <is>
          <t>SONUÇ</t>
        </is>
      </c>
      <c r="B11" s="5" t="inlineStr">
        <is>
          <t>Canlı tarama alındı: 423 nokta/tur, 10,0 tur/s.</t>
        </is>
      </c>
      <c r="C11" s="5" t="inlineStr">
        <is>
          <t>Sistem çalışır durumda. Oda haritası çıkarıldı.</t>
        </is>
      </c>
    </row>
    <row r="14" ht="84" customHeight="1">
      <c r="A14" s="14" t="inlineStr">
        <is>
          <t>Yöntemsel not: Bu tür bir arızada ilk refleks donanımı suçlamaktır. Burada izlenen yol, katmanları tek tek eleyerek sorunun nerede OLMADIĞINI kanıtlamak oldu. Cihazın kimlik ve sağlık bilgisini okuyabiliyor olmak, port/baud/kablo/elektronik katmanlarının tamamını temize çıkarır; geriye yalnızca tek bir olasılık kalır. Aynı teşhis mantığı tanila.py içine kalıcı olarak gömüldü, böylece sorun tekrarlarsa saatler değil dakikalar harcanır.</t>
        </is>
      </c>
    </row>
  </sheetData>
  <mergeCells count="1">
    <mergeCell ref="A14:C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54" customWidth="1" min="3" max="3"/>
    <col width="10" customWidth="1" min="4" max="4"/>
    <col width="26" customWidth="1" min="5" max="5"/>
  </cols>
  <sheetData>
    <row r="1" ht="32" customHeight="1">
      <c r="A1" s="1" t="inlineStr">
        <is>
          <t>Pazartesi — Çizgi İzleme Entegrasyonu</t>
        </is>
      </c>
    </row>
    <row r="2" ht="18" customHeight="1">
      <c r="A2" s="2" t="inlineStr">
        <is>
          <t>Araç başında yapılacaklar, sırayla</t>
        </is>
      </c>
    </row>
    <row r="4" ht="30" customHeight="1">
      <c r="A4" s="4" t="inlineStr">
        <is>
          <t>#</t>
        </is>
      </c>
      <c r="B4" s="4" t="inlineStr">
        <is>
          <t>Adım</t>
        </is>
      </c>
      <c r="C4" s="4" t="inlineStr">
        <is>
          <t>Ne yapılacak</t>
        </is>
      </c>
      <c r="D4" s="4" t="inlineStr">
        <is>
          <t>Süre (sa)</t>
        </is>
      </c>
      <c r="E4" s="4" t="inlineStr">
        <is>
          <t>Bittiğinin kanıtı</t>
        </is>
      </c>
    </row>
    <row r="5">
      <c r="A5" s="28" t="n">
        <v>1</v>
      </c>
      <c r="B5" s="12" t="inlineStr">
        <is>
          <t>LiDAR montajı</t>
        </is>
      </c>
      <c r="C5" s="12" t="inlineStr">
        <is>
          <t>Aracın ön yüzüne, YATAY ve sabit yükseklikte (15–25 cm) monte et. Kabloyu tekerleklerden uzak tut.</t>
        </is>
      </c>
      <c r="D5" s="29" t="n">
        <v>1</v>
      </c>
      <c r="E5" s="12" t="inlineStr">
        <is>
          <t>goster.py'de duvarlar düzgün görünüyor</t>
        </is>
      </c>
    </row>
    <row r="6">
      <c r="A6" s="28" t="n">
        <v>2</v>
      </c>
      <c r="B6" s="12" t="inlineStr">
        <is>
          <t>Kör açı tespiti</t>
        </is>
      </c>
      <c r="C6" s="12" t="inlineStr">
        <is>
          <t>Araç dururken canlı görüntüye bak: aracın kendi gövdesini/kablosunu gördüğü açı aralıklarını not et.</t>
        </is>
      </c>
      <c r="D6" s="29" t="n">
        <v>0.5</v>
      </c>
      <c r="E6" s="12" t="inlineStr">
        <is>
          <t>guvenlik.py --kor 160-200 ile o noktalar kayboluyor</t>
        </is>
      </c>
    </row>
    <row r="7">
      <c r="A7" s="28" t="n">
        <v>3</v>
      </c>
      <c r="B7" s="12" t="inlineStr">
        <is>
          <t>Koridor ölçüleri</t>
        </is>
      </c>
      <c r="C7" s="12" t="inlineStr">
        <is>
          <t>Aracın genişliğini ölç, iki yana 10'ar cm pay ekle. Seyir hızında fren mesafesini ölç; DUR eşiği bundan büyük olmalı.</t>
        </is>
      </c>
      <c r="D7" s="29" t="n">
        <v>1</v>
      </c>
      <c r="E7" s="12" t="inlineStr">
        <is>
          <t>--genislik / --dur / --yavas değerleri yazıldı</t>
        </is>
      </c>
    </row>
    <row r="8">
      <c r="A8" s="28" t="n">
        <v>4</v>
      </c>
      <c r="B8" s="12" t="inlineStr">
        <is>
          <t>Güvenlik testi (motorsuz)</t>
        </is>
      </c>
      <c r="C8" s="12" t="inlineStr">
        <is>
          <t>Araç kapalıyken guvenlik.py'yi çalıştır, önüne kutu koy/çek. SERBEST→YAVAŞ→DUR geçişlerini doğrula.</t>
        </is>
      </c>
      <c r="D8" s="29" t="n">
        <v>0.5</v>
      </c>
      <c r="E8" s="12" t="inlineStr">
        <is>
          <t>Üç durum da ekranda doğru tetikleniyor</t>
        </is>
      </c>
    </row>
    <row r="9">
      <c r="A9" s="28" t="n">
        <v>5</v>
      </c>
      <c r="B9" s="12" t="inlineStr">
        <is>
          <t>Koda bağlama</t>
        </is>
      </c>
      <c r="C9" s="12" t="inlineStr">
        <is>
          <t>GuvenlikOkuyucu'yu cizgi_takip_stabil.py'ye ekle. Hız çarpanı motor_sur() çağrısından hemen ÖNCE, tek noktada uygulanır.</t>
        </is>
      </c>
      <c r="D9" s="29" t="n">
        <v>1</v>
      </c>
      <c r="E9" s="12" t="inlineStr">
        <is>
          <t>Kod çalışıyor, LiDAR yokken davranış değişmiyor</t>
        </is>
      </c>
    </row>
    <row r="10">
      <c r="A10" s="28" t="n">
        <v>6</v>
      </c>
      <c r="B10" s="12" t="inlineStr">
        <is>
          <t>Birlikte test</t>
        </is>
      </c>
      <c r="C10" s="12" t="inlineStr">
        <is>
          <t>Çizgi üzerinde sür, önüne engel koy. Engel çekilince kendiliğinden devam etmeli. Köşe dönüşlerinde yanlış durma olmamalı.</t>
        </is>
      </c>
      <c r="D10" s="29" t="n">
        <v>1.5</v>
      </c>
      <c r="E10" s="12" t="inlineStr">
        <is>
          <t>10 turda 0 yanlış durma, 10/10 doğru durma</t>
        </is>
      </c>
    </row>
    <row r="11">
      <c r="A11" s="28" t="n">
        <v>7</v>
      </c>
      <c r="B11" s="12" t="inlineStr">
        <is>
          <t>Depo/pist haritası</t>
        </is>
      </c>
      <c r="C11" s="12" t="inlineStr">
        <is>
          <t>harita.py --slam ile pisti yavaşça gez, haritayı çıkar.</t>
        </is>
      </c>
      <c r="D11" s="29" t="n">
        <v>1</v>
      </c>
      <c r="E11" s="12" t="inlineStr">
        <is>
          <t>harita_sunum.png üretildi</t>
        </is>
      </c>
    </row>
    <row r="12">
      <c r="A12" s="28" t="n">
        <v>8</v>
      </c>
      <c r="B12" s="12" t="inlineStr">
        <is>
          <t>Video çekimi</t>
        </is>
      </c>
      <c r="C12" s="12" t="inlineStr">
        <is>
          <t>10. sayfadaki 4 sahne.</t>
        </is>
      </c>
      <c r="D12" s="29" t="n">
        <v>2</v>
      </c>
      <c r="E12" s="12" t="inlineStr">
        <is>
          <t>4 sahne de çekildi</t>
        </is>
      </c>
    </row>
    <row r="13">
      <c r="A13" s="16" t="inlineStr"/>
      <c r="B13" s="16" t="inlineStr">
        <is>
          <t>TOPLAM</t>
        </is>
      </c>
      <c r="C13" s="16" t="inlineStr"/>
      <c r="D13" s="30">
        <f>SUM(D5:D12)</f>
        <v/>
      </c>
      <c r="E13" s="16" t="inlineStr"/>
    </row>
    <row r="16">
      <c r="A16" s="8" t="inlineStr">
        <is>
          <t>Riskler ve önlemleri</t>
        </is>
      </c>
    </row>
    <row r="17" ht="30" customHeight="1">
      <c r="A17" s="4" t="inlineStr">
        <is>
          <t>Risk</t>
        </is>
      </c>
      <c r="B17" s="4" t="inlineStr">
        <is>
          <t>Önlem</t>
        </is>
      </c>
      <c r="C17" s="4" t="inlineStr"/>
      <c r="D17" s="4" t="inlineStr"/>
      <c r="E17" s="4" t="inlineStr"/>
    </row>
    <row r="18">
      <c r="A18" s="12" t="inlineStr">
        <is>
          <t>LiDAR yerdeki çizgiyi/eşiği engel sanabilir</t>
        </is>
      </c>
      <c r="B18" s="12" t="inlineStr">
        <is>
          <t>LiDAR'ı yeterince yüksek monte et; gerekirse en yakın mesafe eşiğini yükselt.</t>
        </is>
      </c>
      <c r="C18" s="31" t="n"/>
      <c r="D18" s="31" t="n"/>
      <c r="E18" s="32" t="n"/>
    </row>
    <row r="19">
      <c r="A19" s="12" t="inlineStr">
        <is>
          <t>Köşe dönüşünde duvar koridora girip aracı durdurabilir</t>
        </is>
      </c>
      <c r="B19" s="12" t="inlineStr">
        <is>
          <t>Koridor uzunluğunu (DUR eşiğini) kısa tut; pivot sırasında güvenlik katmanını devre dışı bırakma seçeneği hazır.</t>
        </is>
      </c>
      <c r="C19" s="31" t="n"/>
      <c r="D19" s="31" t="n"/>
      <c r="E19" s="32" t="n"/>
    </row>
    <row r="20">
      <c r="A20" s="12" t="inlineStr">
        <is>
          <t>LiDAR takılı değilken kod bozulmamalı</t>
        </is>
      </c>
      <c r="B20" s="12" t="inlineStr">
        <is>
          <t>GuvenlikOkuyucu ayrı iş parçacığında çalışır ve bağlanamazsa çizgi takibini etkilemez; kullanılmadan önce doğrulanacak.</t>
        </is>
      </c>
      <c r="C20" s="31" t="n"/>
      <c r="D20" s="31" t="n"/>
      <c r="E20" s="32" t="n"/>
    </row>
    <row r="21">
      <c r="A21" s="12" t="inlineStr">
        <is>
          <t>USB portu yetersiz akım verirse motor durur</t>
        </is>
      </c>
      <c r="B21" s="12" t="inlineStr">
        <is>
          <t>Robotta beslemesi güçlü bir port kullan; tanila.py ile önceden doğrula.</t>
        </is>
      </c>
      <c r="C21" s="31" t="n"/>
      <c r="D21" s="31" t="n"/>
      <c r="E21" s="32" t="n"/>
    </row>
  </sheetData>
  <mergeCells count="4">
    <mergeCell ref="B21:E21"/>
    <mergeCell ref="B18:E18"/>
    <mergeCell ref="B19:E19"/>
    <mergeCell ref="B20:E2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54" customWidth="1" min="3" max="3"/>
    <col width="12" customWidth="1" min="4" max="4"/>
    <col width="34" customWidth="1" min="5" max="5"/>
  </cols>
  <sheetData>
    <row r="1" ht="32" customHeight="1">
      <c r="A1" s="1" t="inlineStr">
        <is>
          <t>Video Çekim Planı</t>
        </is>
      </c>
    </row>
    <row r="2" ht="18" customHeight="1">
      <c r="A2" s="2" t="inlineStr">
        <is>
          <t>LiDAR bölümü — toplam ~65 saniye</t>
        </is>
      </c>
    </row>
    <row r="4" ht="30" customHeight="1">
      <c r="A4" s="4" t="inlineStr">
        <is>
          <t>#</t>
        </is>
      </c>
      <c r="B4" s="4" t="inlineStr">
        <is>
          <t>Sahne</t>
        </is>
      </c>
      <c r="C4" s="4" t="inlineStr">
        <is>
          <t>Ne çekilecek</t>
        </is>
      </c>
      <c r="D4" s="4" t="inlineStr">
        <is>
          <t>Süre (sn)</t>
        </is>
      </c>
      <c r="E4" s="4" t="inlineStr">
        <is>
          <t>Neyi kanıtlıyor</t>
        </is>
      </c>
    </row>
    <row r="5">
      <c r="A5" s="28" t="n">
        <v>1</v>
      </c>
      <c r="B5" s="12" t="inlineStr">
        <is>
          <t>Sensör çalışıyor</t>
        </is>
      </c>
      <c r="C5" s="12" t="inlineStr">
        <is>
          <t>Ekranda canlı tarama; LiDAR elle döndürülüyor, nokta bulutu dönüyor. Üst köşede 'nokta/tur' ve 'tur/s' göstergesi okunuyor.</t>
        </is>
      </c>
      <c r="D5" s="28" t="n">
        <v>10</v>
      </c>
      <c r="E5" s="12" t="inlineStr">
        <is>
          <t>Donanım gerçekten çalışıyor, ekran görüntüsü sahte değil</t>
        </is>
      </c>
    </row>
    <row r="6">
      <c r="A6" s="28" t="n">
        <v>2</v>
      </c>
      <c r="B6" s="12" t="inlineStr">
        <is>
          <t>Haritalama</t>
        </is>
      </c>
      <c r="C6" s="12" t="inlineStr">
        <is>
          <t>Depoyu/pisti gezerken haritanın büyüyerek oluşması; sonunda harita_sunum.png tam ekran, ölçüler görünür.</t>
        </is>
      </c>
      <c r="D6" s="28" t="n">
        <v>20</v>
      </c>
      <c r="E6" s="12" t="inlineStr">
        <is>
          <t>Haritalama yeteneği ve metrik doğruluk</t>
        </is>
      </c>
    </row>
    <row r="7">
      <c r="A7" s="28" t="n">
        <v>3</v>
      </c>
      <c r="B7" s="12" t="inlineStr">
        <is>
          <t>Engel algılama ve durma</t>
        </is>
      </c>
      <c r="C7" s="12" t="inlineStr">
        <is>
          <t>Araç çizgide giderken önüne kutu konuyor. Bölünmüş ekran: solda araç, sağda LiDAR görüntüsü yeşilden sarıya, sarıdan kırmızıya dönüyor; araç yavaşlayıp duruyor.</t>
        </is>
      </c>
      <c r="D7" s="28" t="n">
        <v>25</v>
      </c>
      <c r="E7" s="12" t="inlineStr">
        <is>
          <t>Sensör → karar → motor zinciri. Videonun en değerli kısmı.</t>
        </is>
      </c>
    </row>
    <row r="8">
      <c r="A8" s="28" t="n">
        <v>4</v>
      </c>
      <c r="B8" s="12" t="inlineStr">
        <is>
          <t>Otomatik devam</t>
        </is>
      </c>
      <c r="C8" s="12" t="inlineStr">
        <is>
          <t>Kutu çekiliyor, araç kendiliğinden devam ediyor.</t>
        </is>
      </c>
      <c r="D8" s="28" t="n">
        <v>10</v>
      </c>
      <c r="E8" s="12" t="inlineStr">
        <is>
          <t>Sistem kilitlenmiyor, kendiliğinden toparlanıyor</t>
        </is>
      </c>
    </row>
    <row r="9">
      <c r="A9" s="16" t="inlineStr"/>
      <c r="B9" s="16" t="inlineStr">
        <is>
          <t>TOPLAM</t>
        </is>
      </c>
      <c r="C9" s="16" t="inlineStr"/>
      <c r="D9" s="33">
        <f>SUM(D5:D8)</f>
        <v/>
      </c>
      <c r="E9" s="16" t="inlineStr"/>
    </row>
    <row r="12">
      <c r="A12" s="8" t="inlineStr">
        <is>
          <t>Çekim notları</t>
        </is>
      </c>
    </row>
    <row r="13" ht="44" customHeight="1">
      <c r="A13" s="18" t="inlineStr">
        <is>
          <t>• 3. sahne videonun en değerli 25 saniyesidir. Değerlendiren kişi "LiDAR'ı gerçekten kullanmışlar mı, yoksa üstüne takıp geçmişler mi?" diye bakar; kırmızı bölge ile duran aracı AYNI KAREDE göstermek bu soruyu tek seferde cevaplar.</t>
        </is>
      </c>
    </row>
    <row r="14" ht="44" customHeight="1">
      <c r="A14" s="18" t="inlineStr">
        <is>
          <t>• Ekran kaydı ile araç görüntüsünü aynı anda alın (telefonla araç, bilgisayarda ekran kaydı, sonra yan yana kurgu).</t>
        </is>
      </c>
    </row>
    <row r="15" ht="44" customHeight="1">
      <c r="A15" s="18" t="inlineStr">
        <is>
          <t>• Rapor 'RPLIDAR A1M8' yazıyor, elde 'C1' var. Videoda cihaz görünecek. Tek cümlelik açıklama yeterlidir: "Tedarik sürecinde A1M8 yerine C1 temin edildi." C1 daha yeni bir modeldir; bunu belirtmek eksiklik değil, şeffaflıktır.</t>
        </is>
      </c>
    </row>
    <row r="16" ht="44" customHeight="1">
      <c r="A16" s="18" t="inlineStr">
        <is>
          <t>• Ölçüler ekranda görünsün: haritada metre ızgarası ve "Ölçülen alan" yazısı var, kamera ona bir saniye sabitlensin.</t>
        </is>
      </c>
    </row>
  </sheetData>
  <mergeCells count="4">
    <mergeCell ref="A16:E16"/>
    <mergeCell ref="A15:E15"/>
    <mergeCell ref="A13:E13"/>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2026-08-02T10:18:49Z</dcterms:created>
  <dcterms:modified xsi:type="dcterms:W3CDTF">2026-08-02T10:18:49Z</dcterms:modified>
</cp:coreProperties>
</file>